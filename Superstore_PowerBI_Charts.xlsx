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les by Category" sheetId="2" state="visible" r:id="rId2"/>
    <sheet xmlns:r="http://schemas.openxmlformats.org/officeDocument/2006/relationships" name="Monthly Trend" sheetId="3" state="visible" r:id="rId3"/>
    <sheet xmlns:r="http://schemas.openxmlformats.org/officeDocument/2006/relationships" name="Segment Analysis" sheetId="4" state="visible" r:id="rId4"/>
    <sheet xmlns:r="http://schemas.openxmlformats.org/officeDocument/2006/relationships" name="Regional Performance" sheetId="5" state="visible" r:id="rId5"/>
    <sheet xmlns:r="http://schemas.openxmlformats.org/officeDocument/2006/relationships" name="YoY Growth" sheetId="6" state="visible" r:id="rId6"/>
    <sheet xmlns:r="http://schemas.openxmlformats.org/officeDocument/2006/relationships" name="Top 10 Produ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00B4D8"/>
      <sz val="10"/>
    </font>
    <font>
      <name val="Calibri"/>
      <color rgb="008899AA"/>
      <sz val="9"/>
    </font>
    <font>
      <name val="Calibri"/>
      <b val="1"/>
      <color rgb="000078D4"/>
      <sz val="16"/>
    </font>
    <font>
      <name val="Calibri"/>
      <b val="1"/>
      <color rgb="0006D6A0"/>
      <sz val="16"/>
    </font>
    <font>
      <name val="Calibri"/>
      <b val="1"/>
      <color rgb="00FFB703"/>
      <sz val="16"/>
    </font>
    <font>
      <name val="Calibri"/>
      <b val="1"/>
      <color rgb="0000B4D8"/>
      <sz val="16"/>
    </font>
    <font>
      <name val="Calibri"/>
      <b val="1"/>
      <color rgb="0048CAE4"/>
      <sz val="16"/>
    </font>
    <font>
      <name val="Calibri"/>
      <b val="1"/>
      <color rgb="00E63946"/>
      <sz val="16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1E2A3A"/>
      <sz val="10"/>
    </font>
    <font>
      <name val="Calibri"/>
      <b val="1"/>
      <color rgb="0006D6A0"/>
      <sz val="10"/>
    </font>
    <font>
      <name val="Calibri"/>
      <b val="1"/>
      <color rgb="00E63946"/>
      <sz val="10"/>
    </font>
    <font>
      <name val="Calibri"/>
      <sz val="10"/>
    </font>
    <font>
      <name val="Calibri"/>
      <color rgb="001E2A3A"/>
      <sz val="9"/>
    </font>
  </fonts>
  <fills count="12">
    <fill>
      <patternFill/>
    </fill>
    <fill>
      <patternFill patternType="gray125"/>
    </fill>
    <fill>
      <patternFill patternType="solid">
        <fgColor rgb="001E2A3A"/>
      </patternFill>
    </fill>
    <fill>
      <patternFill patternType="solid">
        <fgColor rgb="002D4A6B"/>
      </patternFill>
    </fill>
    <fill>
      <patternFill patternType="solid">
        <fgColor rgb="000078D4"/>
      </patternFill>
    </fill>
    <fill>
      <patternFill patternType="solid">
        <fgColor rgb="0006D6A0"/>
      </patternFill>
    </fill>
    <fill>
      <patternFill patternType="solid">
        <fgColor rgb="00FFB703"/>
      </patternFill>
    </fill>
    <fill>
      <patternFill patternType="solid">
        <fgColor rgb="0000B4D8"/>
      </patternFill>
    </fill>
    <fill>
      <patternFill patternType="solid">
        <fgColor rgb="0048CAE4"/>
      </patternFill>
    </fill>
    <fill>
      <patternFill patternType="solid">
        <fgColor rgb="00E63946"/>
      </patternFill>
    </fill>
    <fill>
      <patternFill patternType="solid">
        <fgColor rgb="00F0F4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CE8"/>
      </left>
      <right style="thin">
        <color rgb="00D0DCE8"/>
      </right>
      <top style="thin">
        <color rgb="00D0DCE8"/>
      </top>
      <bottom style="thin">
        <color rgb="00D0DCE8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1" fillId="3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/>
    </xf>
    <xf numFmtId="164" fontId="12" fillId="10" borderId="1" applyAlignment="1" pivotButton="0" quotePrefix="0" xfId="0">
      <alignment horizontal="center" vertical="center"/>
    </xf>
    <xf numFmtId="164" fontId="13" fillId="10" borderId="1" applyAlignment="1" pivotButton="0" quotePrefix="0" xfId="0">
      <alignment horizontal="center" vertical="center"/>
    </xf>
    <xf numFmtId="165" fontId="12" fillId="10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164" fontId="12" fillId="11" borderId="1" applyAlignment="1" pivotButton="0" quotePrefix="0" xfId="0">
      <alignment horizontal="center" vertical="center"/>
    </xf>
    <xf numFmtId="164" fontId="13" fillId="11" borderId="1" applyAlignment="1" pivotButton="0" quotePrefix="0" xfId="0">
      <alignment horizontal="center" vertical="center"/>
    </xf>
    <xf numFmtId="165" fontId="12" fillId="11" borderId="1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10" borderId="1" applyAlignment="1" pivotButton="0" quotePrefix="0" xfId="0">
      <alignment horizontal="center" vertical="center"/>
    </xf>
    <xf numFmtId="3" fontId="12" fillId="10" borderId="1" applyAlignment="1" pivotButton="0" quotePrefix="0" xfId="0">
      <alignment horizontal="center" vertical="center"/>
    </xf>
    <xf numFmtId="3" fontId="12" fillId="11" borderId="1" applyAlignment="1" pivotButton="0" quotePrefix="0" xfId="0">
      <alignment horizontal="center" vertical="center"/>
    </xf>
    <xf numFmtId="165" fontId="15" fillId="11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 wrapText="1"/>
    </xf>
    <xf numFmtId="0" fontId="16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Sub-Category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'Sales by Category'!C2</f>
            </strRef>
          </tx>
          <spPr>
            <a:solidFill xmlns:a="http://schemas.openxmlformats.org/drawingml/2006/main">
              <a:srgbClr val="0078D4"/>
            </a:solidFill>
            <a:ln xmlns:a="http://schemas.openxmlformats.org/drawingml/2006/main">
              <a:prstDash val="solid"/>
            </a:ln>
          </spPr>
          <cat>
            <numRef>
              <f>'Sales by Category'!$B$3:$B$19</f>
            </numRef>
          </cat>
          <val>
            <numRef>
              <f>'Sales by Category'!$C$3:$C$19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&amp; Profit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Trend'!B2</f>
            </strRef>
          </tx>
          <spPr>
            <a:ln xmlns:a="http://schemas.openxmlformats.org/drawingml/2006/main" w="20000">
              <a:solidFill>
                <a:srgbClr val="0078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Trend'!$A$3:$A$50</f>
            </numRef>
          </cat>
          <val>
            <numRef>
              <f>'Monthly Trend'!$B$3:$B$50</f>
            </numRef>
          </val>
        </ser>
        <ser>
          <idx val="1"/>
          <order val="1"/>
          <tx>
            <strRef>
              <f>'Monthly Trend'!C2</f>
            </strRef>
          </tx>
          <spPr>
            <a:ln xmlns:a="http://schemas.openxmlformats.org/drawingml/2006/main" w="20000">
              <a:solidFill>
                <a:srgbClr val="06D6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Trend'!$A$3:$A$50</f>
            </numRef>
          </cat>
          <val>
            <numRef>
              <f>'Monthly Trend'!$C$3:$C$50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Distribution by Segment</a:t>
            </a:r>
          </a:p>
        </rich>
      </tx>
    </title>
    <plotArea>
      <pieChart>
        <varyColors val="1"/>
        <ser>
          <idx val="0"/>
          <order val="0"/>
          <tx>
            <strRef>
              <f>'Segment Analysis'!B2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0078D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6D6A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B703"/>
              </a:solidFill>
              <a:ln xmlns:a="http://schemas.openxmlformats.org/drawingml/2006/main">
                <a:prstDash val="solid"/>
              </a:ln>
            </spPr>
          </dPt>
          <cat>
            <numRef>
              <f>'Segment Analysis'!$A$3:$A$5</f>
            </numRef>
          </cat>
          <val>
            <numRef>
              <f>'Segment Analysis'!$B$3:$B$5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'Segment Analysis'!C2</f>
            </strRef>
          </tx>
          <spPr>
            <a:solidFill xmlns:a="http://schemas.openxmlformats.org/drawingml/2006/main">
              <a:srgbClr val="06D6A0"/>
            </a:solidFill>
            <a:ln xmlns:a="http://schemas.openxmlformats.org/drawingml/2006/main">
              <a:prstDash val="solid"/>
            </a:ln>
          </spPr>
          <cat>
            <numRef>
              <f>'Segment Analysis'!$A$3:$A$5</f>
            </numRef>
          </cat>
          <val>
            <numRef>
              <f>'Segment Analysis'!$C$3:$C$5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vs Profit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'Regional Performance'!B2</f>
            </strRef>
          </tx>
          <spPr>
            <a:solidFill xmlns:a="http://schemas.openxmlformats.org/drawingml/2006/main">
              <a:srgbClr val="0078D4"/>
            </a:solidFill>
            <a:ln xmlns:a="http://schemas.openxmlformats.org/drawingml/2006/main">
              <a:prstDash val="solid"/>
            </a:ln>
          </spPr>
          <cat>
            <numRef>
              <f>'Regional Performance'!$A$3:$A$6</f>
            </numRef>
          </cat>
          <val>
            <numRef>
              <f>'Regional Performance'!$B$3:$B$6</f>
            </numRef>
          </val>
        </ser>
        <ser>
          <idx val="1"/>
          <order val="1"/>
          <tx>
            <strRef>
              <f>'Regional Performance'!C2</f>
            </strRef>
          </tx>
          <spPr>
            <a:solidFill xmlns:a="http://schemas.openxmlformats.org/drawingml/2006/main">
              <a:srgbClr val="06D6A0"/>
            </a:solidFill>
            <a:ln xmlns:a="http://schemas.openxmlformats.org/drawingml/2006/main">
              <a:prstDash val="solid"/>
            </a:ln>
          </spPr>
          <cat>
            <numRef>
              <f>'Regional Performance'!$A$3:$A$6</f>
            </numRef>
          </cat>
          <val>
            <numRef>
              <f>'Regional Performance'!$C$3:$C$6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Sales &amp; Profit</a:t>
            </a:r>
          </a:p>
        </rich>
      </tx>
    </title>
    <plotArea>
      <lineChart>
        <grouping val="standard"/>
        <ser>
          <idx val="0"/>
          <order val="0"/>
          <tx>
            <strRef>
              <f>'YoY Growth'!B2</f>
            </strRef>
          </tx>
          <spPr>
            <a:ln xmlns:a="http://schemas.openxmlformats.org/drawingml/2006/main" w="25000">
              <a:solidFill>
                <a:srgbClr val="0078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'YoY Growth'!$A$3:$A$6</f>
            </numRef>
          </cat>
          <val>
            <numRef>
              <f>'YoY Growth'!$B$3:$B$6</f>
            </numRef>
          </val>
        </ser>
        <ser>
          <idx val="1"/>
          <order val="1"/>
          <tx>
            <strRef>
              <f>'YoY Growth'!D2</f>
            </strRef>
          </tx>
          <spPr>
            <a:ln xmlns:a="http://schemas.openxmlformats.org/drawingml/2006/main" w="25000">
              <a:solidFill>
                <a:srgbClr val="FFB70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'YoY Growth'!$A$3:$A$6</f>
            </numRef>
          </cat>
          <val>
            <numRef>
              <f>'YoY Growth'!$D$3:$D$6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Products by Sales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10 Products'!B2</f>
            </strRef>
          </tx>
          <spPr>
            <a:solidFill xmlns:a="http://schemas.openxmlformats.org/drawingml/2006/main">
              <a:srgbClr val="00B4D8"/>
            </a:solidFill>
            <a:ln xmlns:a="http://schemas.openxmlformats.org/drawingml/2006/main">
              <a:prstDash val="solid"/>
            </a:ln>
          </spPr>
          <cat>
            <numRef>
              <f>'Top 10 Products'!$A$3:$A$12</f>
            </numRef>
          </cat>
          <val>
            <numRef>
              <f>'Top 10 Products'!$B$3:$B$12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19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1</row>
      <rowOff>0</rowOff>
    </from>
    <ext cx="1008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2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A2" s="1" t="n"/>
      <c r="B2" s="2" t="inlineStr">
        <is>
          <t>SUPERSTORE ANALYTICS DASHBOARD</t>
        </is>
      </c>
    </row>
    <row r="3" ht="20" customHeight="1">
      <c r="A3" s="1" t="n"/>
    </row>
    <row r="4" ht="20" customHeight="1">
      <c r="A4" s="1" t="n"/>
      <c r="B4" s="3" t="inlineStr">
        <is>
          <t>Sales · Profit · Category · Regional Performance  |  2023–2026</t>
        </is>
      </c>
    </row>
    <row r="5" ht="20" customHeight="1"/>
    <row r="6" ht="20" customHeight="1">
      <c r="B6" s="4" t="inlineStr">
        <is>
          <t>Total Sales</t>
        </is>
      </c>
      <c r="D6" s="4" t="inlineStr">
        <is>
          <t>Total Profit</t>
        </is>
      </c>
      <c r="F6" s="4" t="inlineStr">
        <is>
          <t>Profit Margin</t>
        </is>
      </c>
      <c r="H6" s="4" t="inlineStr">
        <is>
          <t>Total Orders</t>
        </is>
      </c>
      <c r="J6" s="4" t="inlineStr">
        <is>
          <t>Customers</t>
        </is>
      </c>
      <c r="L6" s="4" t="inlineStr">
        <is>
          <t>Products</t>
        </is>
      </c>
    </row>
    <row r="7" ht="20" customHeight="1">
      <c r="B7" s="5" t="inlineStr">
        <is>
          <t>$2.33M</t>
        </is>
      </c>
      <c r="D7" s="6" t="inlineStr">
        <is>
          <t>$292K</t>
        </is>
      </c>
      <c r="F7" s="7" t="inlineStr">
        <is>
          <t>12.6%</t>
        </is>
      </c>
      <c r="H7" s="8" t="inlineStr">
        <is>
          <t>5,111</t>
        </is>
      </c>
      <c r="J7" s="9" t="inlineStr">
        <is>
          <t>804</t>
        </is>
      </c>
      <c r="L7" s="10" t="inlineStr">
        <is>
          <t>1,862</t>
        </is>
      </c>
    </row>
    <row r="8" ht="20" customHeight="1"/>
    <row r="9" ht="20" customHeight="1">
      <c r="B9" s="11" t="n"/>
      <c r="D9" s="12" t="n"/>
      <c r="F9" s="13" t="n"/>
      <c r="H9" s="14" t="n"/>
      <c r="J9" s="15" t="n"/>
      <c r="L9" s="16" t="n"/>
    </row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</sheetData>
  <mergeCells count="20">
    <mergeCell ref="D7:E8"/>
    <mergeCell ref="H7:I8"/>
    <mergeCell ref="J7:K8"/>
    <mergeCell ref="F6:G6"/>
    <mergeCell ref="H9:I9"/>
    <mergeCell ref="J9:K9"/>
    <mergeCell ref="D6:E6"/>
    <mergeCell ref="H6:I6"/>
    <mergeCell ref="J6:K6"/>
    <mergeCell ref="B2:M3"/>
    <mergeCell ref="L7:M8"/>
    <mergeCell ref="B7:C8"/>
    <mergeCell ref="F7:G8"/>
    <mergeCell ref="B9:C9"/>
    <mergeCell ref="D9:E9"/>
    <mergeCell ref="B4:M4"/>
    <mergeCell ref="F9:G9"/>
    <mergeCell ref="L9:M9"/>
    <mergeCell ref="B6:C6"/>
    <mergeCell ref="L6:M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7" t="inlineStr">
        <is>
          <t>SALES BY SUB-CATEGORY</t>
        </is>
      </c>
      <c r="B1" s="18" t="n"/>
      <c r="C1" s="18" t="n"/>
      <c r="D1" s="18" t="n"/>
      <c r="E1" s="18" t="n"/>
    </row>
    <row r="2">
      <c r="A2" s="19" t="inlineStr">
        <is>
          <t>Category</t>
        </is>
      </c>
      <c r="B2" s="19" t="inlineStr">
        <is>
          <t>Sub-Category</t>
        </is>
      </c>
      <c r="C2" s="19" t="inlineStr">
        <is>
          <t>Sales ($)</t>
        </is>
      </c>
      <c r="D2" s="19" t="inlineStr">
        <is>
          <t>Profit ($)</t>
        </is>
      </c>
      <c r="E2" s="19" t="inlineStr">
        <is>
          <t>Margin %</t>
        </is>
      </c>
    </row>
    <row r="3">
      <c r="A3" s="20" t="inlineStr">
        <is>
          <t>Furniture</t>
        </is>
      </c>
      <c r="B3" s="20" t="inlineStr">
        <is>
          <t>Chairs</t>
        </is>
      </c>
      <c r="C3" s="21" t="n">
        <v>335768.249</v>
      </c>
      <c r="D3" s="22" t="n">
        <v>27223.5323</v>
      </c>
      <c r="E3" s="23" t="n">
        <v>0.08107834013811113</v>
      </c>
    </row>
    <row r="4">
      <c r="A4" s="24" t="inlineStr">
        <is>
          <t>Technology</t>
        </is>
      </c>
      <c r="B4" s="24" t="inlineStr">
        <is>
          <t>Phones</t>
        </is>
      </c>
      <c r="C4" s="25" t="n">
        <v>331842.64</v>
      </c>
      <c r="D4" s="26" t="n">
        <v>45050.8265</v>
      </c>
      <c r="E4" s="27" t="n">
        <v>0.1357596073247248</v>
      </c>
    </row>
    <row r="5">
      <c r="A5" s="20" t="inlineStr">
        <is>
          <t>Office Supplies</t>
        </is>
      </c>
      <c r="B5" s="20" t="inlineStr">
        <is>
          <t>Storage</t>
        </is>
      </c>
      <c r="C5" s="21" t="n">
        <v>224644.554</v>
      </c>
      <c r="D5" s="22" t="n">
        <v>21285.1115</v>
      </c>
      <c r="E5" s="23" t="n">
        <v>0.09475017809690592</v>
      </c>
    </row>
    <row r="6">
      <c r="A6" s="24" t="inlineStr">
        <is>
          <t>Furniture</t>
        </is>
      </c>
      <c r="B6" s="24" t="inlineStr">
        <is>
          <t>Tables</t>
        </is>
      </c>
      <c r="C6" s="25" t="n">
        <v>208020.182</v>
      </c>
      <c r="D6" s="28" t="n">
        <v>-17753.2061</v>
      </c>
      <c r="E6" s="27" t="n">
        <v>-0.0853436716058637</v>
      </c>
    </row>
    <row r="7">
      <c r="A7" s="20" t="inlineStr">
        <is>
          <t>Office Supplies</t>
        </is>
      </c>
      <c r="B7" s="20" t="inlineStr">
        <is>
          <t>Binders</t>
        </is>
      </c>
      <c r="C7" s="21" t="n">
        <v>207354.881</v>
      </c>
      <c r="D7" s="22" t="n">
        <v>31426.1003</v>
      </c>
      <c r="E7" s="23" t="n">
        <v>0.1515570800573535</v>
      </c>
    </row>
    <row r="8">
      <c r="A8" s="24" t="inlineStr">
        <is>
          <t>Technology</t>
        </is>
      </c>
      <c r="B8" s="24" t="inlineStr">
        <is>
          <t>Machines</t>
        </is>
      </c>
      <c r="C8" s="25" t="n">
        <v>189925.031</v>
      </c>
      <c r="D8" s="26" t="n">
        <v>3461.976899999999</v>
      </c>
      <c r="E8" s="27" t="n">
        <v>0.01822812339043398</v>
      </c>
    </row>
    <row r="9">
      <c r="A9" s="20" t="inlineStr">
        <is>
          <t>Technology</t>
        </is>
      </c>
      <c r="B9" s="20" t="inlineStr">
        <is>
          <t>Accessories</t>
        </is>
      </c>
      <c r="C9" s="21" t="n">
        <v>167380.318</v>
      </c>
      <c r="D9" s="22" t="n">
        <v>41936.6357</v>
      </c>
      <c r="E9" s="23" t="n">
        <v>0.2505469950176579</v>
      </c>
    </row>
    <row r="10">
      <c r="A10" s="24" t="inlineStr">
        <is>
          <t>Technology</t>
        </is>
      </c>
      <c r="B10" s="24" t="inlineStr">
        <is>
          <t>Copiers</t>
        </is>
      </c>
      <c r="C10" s="25" t="n">
        <v>150745.29</v>
      </c>
      <c r="D10" s="26" t="n">
        <v>56093.9365</v>
      </c>
      <c r="E10" s="27" t="n">
        <v>0.3721107074058499</v>
      </c>
    </row>
    <row r="11">
      <c r="A11" s="20" t="inlineStr">
        <is>
          <t>Furniture</t>
        </is>
      </c>
      <c r="B11" s="20" t="inlineStr">
        <is>
          <t>Bookcases</t>
        </is>
      </c>
      <c r="C11" s="21" t="n">
        <v>115361.2043</v>
      </c>
      <c r="D11" s="29" t="n">
        <v>-3632.073600000002</v>
      </c>
      <c r="E11" s="23" t="n">
        <v>-0.03148435925265389</v>
      </c>
    </row>
    <row r="12">
      <c r="A12" s="24" t="inlineStr">
        <is>
          <t>Office Supplies</t>
        </is>
      </c>
      <c r="B12" s="24" t="inlineStr">
        <is>
          <t>Appliances</t>
        </is>
      </c>
      <c r="C12" s="25" t="n">
        <v>108213.185</v>
      </c>
      <c r="D12" s="26" t="n">
        <v>18329.4844</v>
      </c>
      <c r="E12" s="27" t="n">
        <v>0.1693830968934146</v>
      </c>
    </row>
    <row r="13">
      <c r="A13" s="20" t="inlineStr">
        <is>
          <t>Furniture</t>
        </is>
      </c>
      <c r="B13" s="20" t="inlineStr">
        <is>
          <t>Furnishings</t>
        </is>
      </c>
      <c r="C13" s="21" t="n">
        <v>95598.126</v>
      </c>
      <c r="D13" s="22" t="n">
        <v>13891.743</v>
      </c>
      <c r="E13" s="23" t="n">
        <v>0.1453139677654351</v>
      </c>
    </row>
    <row r="14">
      <c r="A14" s="24" t="inlineStr">
        <is>
          <t>Office Supplies</t>
        </is>
      </c>
      <c r="B14" s="24" t="inlineStr">
        <is>
          <t>Paper</t>
        </is>
      </c>
      <c r="C14" s="25" t="n">
        <v>79540.538</v>
      </c>
      <c r="D14" s="26" t="n">
        <v>34511.507</v>
      </c>
      <c r="E14" s="27" t="n">
        <v>0.4338857627540814</v>
      </c>
    </row>
    <row r="15">
      <c r="A15" s="20" t="inlineStr">
        <is>
          <t>Office Supplies</t>
        </is>
      </c>
      <c r="B15" s="20" t="inlineStr">
        <is>
          <t>Supplies</t>
        </is>
      </c>
      <c r="C15" s="21" t="n">
        <v>46725.498</v>
      </c>
      <c r="D15" s="29" t="n">
        <v>-1171.3945</v>
      </c>
      <c r="E15" s="23" t="n">
        <v>-0.02506970605214309</v>
      </c>
    </row>
    <row r="16">
      <c r="A16" s="24" t="inlineStr">
        <is>
          <t>Office Supplies</t>
        </is>
      </c>
      <c r="B16" s="24" t="inlineStr">
        <is>
          <t>Art</t>
        </is>
      </c>
      <c r="C16" s="25" t="n">
        <v>27659.014</v>
      </c>
      <c r="D16" s="26" t="n">
        <v>6653.1962</v>
      </c>
      <c r="E16" s="27" t="n">
        <v>0.2405435059977192</v>
      </c>
    </row>
    <row r="17">
      <c r="A17" s="20" t="inlineStr">
        <is>
          <t>Office Supplies</t>
        </is>
      </c>
      <c r="B17" s="20" t="inlineStr">
        <is>
          <t>Envelopes</t>
        </is>
      </c>
      <c r="C17" s="21" t="n">
        <v>16528.362</v>
      </c>
      <c r="D17" s="22" t="n">
        <v>6988.0247</v>
      </c>
      <c r="E17" s="23" t="n">
        <v>0.4227899110631773</v>
      </c>
    </row>
    <row r="18">
      <c r="A18" s="24" t="inlineStr">
        <is>
          <t>Office Supplies</t>
        </is>
      </c>
      <c r="B18" s="24" t="inlineStr">
        <is>
          <t>Labels</t>
        </is>
      </c>
      <c r="C18" s="25" t="n">
        <v>12695.042</v>
      </c>
      <c r="D18" s="26" t="n">
        <v>5572.778</v>
      </c>
      <c r="E18" s="27" t="n">
        <v>0.4389727895346861</v>
      </c>
    </row>
    <row r="19">
      <c r="A19" s="20" t="inlineStr">
        <is>
          <t>Office Supplies</t>
        </is>
      </c>
      <c r="B19" s="20" t="inlineStr">
        <is>
          <t>Fasteners</t>
        </is>
      </c>
      <c r="C19" s="21" t="n">
        <v>8532.24</v>
      </c>
      <c r="D19" s="22" t="n">
        <v>2428.6358</v>
      </c>
      <c r="E19" s="23" t="n">
        <v>0.284642227597911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7" t="inlineStr">
        <is>
          <t>MONTHLY SALES &amp; PROFIT TREND</t>
        </is>
      </c>
      <c r="B1" s="18" t="n"/>
      <c r="C1" s="18" t="n"/>
      <c r="D1" s="18" t="n"/>
    </row>
    <row r="2">
      <c r="A2" s="19" t="inlineStr">
        <is>
          <t>Month</t>
        </is>
      </c>
      <c r="B2" s="19" t="inlineStr">
        <is>
          <t>Sales ($)</t>
        </is>
      </c>
      <c r="C2" s="19" t="inlineStr">
        <is>
          <t>Profit ($)</t>
        </is>
      </c>
      <c r="D2" s="19" t="inlineStr">
        <is>
          <t>Margin %</t>
        </is>
      </c>
    </row>
    <row r="3">
      <c r="A3" s="20" t="inlineStr">
        <is>
          <t>2023-01</t>
        </is>
      </c>
      <c r="B3" s="21" t="n">
        <v>14518.055</v>
      </c>
      <c r="C3" s="22" t="n">
        <v>2539.3907</v>
      </c>
      <c r="D3" s="23" t="n">
        <v>0.1749125967631339</v>
      </c>
    </row>
    <row r="4">
      <c r="A4" s="24" t="inlineStr">
        <is>
          <t>2023-02</t>
        </is>
      </c>
      <c r="B4" s="25" t="n">
        <v>4519.892</v>
      </c>
      <c r="C4" s="26" t="n">
        <v>862.3083999999999</v>
      </c>
      <c r="D4" s="27" t="n">
        <v>0.1907807531684385</v>
      </c>
    </row>
    <row r="5">
      <c r="A5" s="20" t="inlineStr">
        <is>
          <t>2023-03</t>
        </is>
      </c>
      <c r="B5" s="21" t="n">
        <v>56933.909</v>
      </c>
      <c r="C5" s="22" t="n">
        <v>693.4498999999997</v>
      </c>
      <c r="D5" s="23" t="n">
        <v>0.01217991021835511</v>
      </c>
    </row>
    <row r="6">
      <c r="A6" s="24" t="inlineStr">
        <is>
          <t>2023-04</t>
        </is>
      </c>
      <c r="B6" s="25" t="n">
        <v>28295.345</v>
      </c>
      <c r="C6" s="26" t="n">
        <v>3488.8352</v>
      </c>
      <c r="D6" s="27" t="n">
        <v>0.123300677196196</v>
      </c>
    </row>
    <row r="7">
      <c r="A7" s="20" t="inlineStr">
        <is>
          <t>2023-05</t>
        </is>
      </c>
      <c r="B7" s="21" t="n">
        <v>26319.767</v>
      </c>
      <c r="C7" s="22" t="n">
        <v>3196.3918</v>
      </c>
      <c r="D7" s="23" t="n">
        <v>0.121444532544684</v>
      </c>
    </row>
    <row r="8">
      <c r="A8" s="24" t="inlineStr">
        <is>
          <t>2023-06</t>
        </is>
      </c>
      <c r="B8" s="25" t="n">
        <v>34669.4796</v>
      </c>
      <c r="C8" s="26" t="n">
        <v>4999.7594</v>
      </c>
      <c r="D8" s="27" t="n">
        <v>0.1442121271413604</v>
      </c>
    </row>
    <row r="9">
      <c r="A9" s="20" t="inlineStr">
        <is>
          <t>2023-07</t>
        </is>
      </c>
      <c r="B9" s="21" t="n">
        <v>33946.393</v>
      </c>
      <c r="C9" s="29" t="n">
        <v>-841.4826000000003</v>
      </c>
      <c r="D9" s="23" t="n">
        <v>-0.02478857179317992</v>
      </c>
    </row>
    <row r="10">
      <c r="A10" s="24" t="inlineStr">
        <is>
          <t>2023-08</t>
        </is>
      </c>
      <c r="B10" s="25" t="n">
        <v>28918.3385</v>
      </c>
      <c r="C10" s="26" t="n">
        <v>5765.225</v>
      </c>
      <c r="D10" s="27" t="n">
        <v>0.1993622489756803</v>
      </c>
    </row>
    <row r="11">
      <c r="A11" s="20" t="inlineStr">
        <is>
          <t>2023-09</t>
        </is>
      </c>
      <c r="B11" s="21" t="n">
        <v>82670.42880000001</v>
      </c>
      <c r="C11" s="22" t="n">
        <v>8593.630199999998</v>
      </c>
      <c r="D11" s="23" t="n">
        <v>0.1039504732797515</v>
      </c>
    </row>
    <row r="12">
      <c r="A12" s="24" t="inlineStr">
        <is>
          <t>2023-10</t>
        </is>
      </c>
      <c r="B12" s="25" t="n">
        <v>32413.339</v>
      </c>
      <c r="C12" s="26" t="n">
        <v>3469.1749</v>
      </c>
      <c r="D12" s="27" t="n">
        <v>0.1070292357106437</v>
      </c>
    </row>
    <row r="13">
      <c r="A13" s="20" t="inlineStr">
        <is>
          <t>2023-11</t>
        </is>
      </c>
      <c r="B13" s="21" t="n">
        <v>78826.9567</v>
      </c>
      <c r="C13" s="22" t="n">
        <v>9362.955699999999</v>
      </c>
      <c r="D13" s="23" t="n">
        <v>0.1187786017876293</v>
      </c>
    </row>
    <row r="14">
      <c r="A14" s="24" t="inlineStr">
        <is>
          <t>2023-12</t>
        </is>
      </c>
      <c r="B14" s="25" t="n">
        <v>72008.3085</v>
      </c>
      <c r="C14" s="26" t="n">
        <v>9554.6571</v>
      </c>
      <c r="D14" s="27" t="n">
        <v>0.1326882591610939</v>
      </c>
    </row>
    <row r="15">
      <c r="A15" s="20" t="inlineStr">
        <is>
          <t>2024-01</t>
        </is>
      </c>
      <c r="B15" s="21" t="n">
        <v>18461.9156</v>
      </c>
      <c r="C15" s="29" t="n">
        <v>-3189.803</v>
      </c>
      <c r="D15" s="23" t="n">
        <v>-0.1727774662776597</v>
      </c>
    </row>
    <row r="16">
      <c r="A16" s="24" t="inlineStr">
        <is>
          <t>2024-02</t>
        </is>
      </c>
      <c r="B16" s="25" t="n">
        <v>11951.411</v>
      </c>
      <c r="C16" s="26" t="n">
        <v>2813.8508</v>
      </c>
      <c r="D16" s="27" t="n">
        <v>0.2354408864359196</v>
      </c>
    </row>
    <row r="17">
      <c r="A17" s="20" t="inlineStr">
        <is>
          <t>2024-03</t>
        </is>
      </c>
      <c r="B17" s="21" t="n">
        <v>39978.628</v>
      </c>
      <c r="C17" s="22" t="n">
        <v>9930.6134</v>
      </c>
      <c r="D17" s="23" t="n">
        <v>0.2483980540802951</v>
      </c>
    </row>
    <row r="18">
      <c r="A18" s="24" t="inlineStr">
        <is>
          <t>2024-04</t>
        </is>
      </c>
      <c r="B18" s="25" t="n">
        <v>34195.2085</v>
      </c>
      <c r="C18" s="26" t="n">
        <v>4187.4962</v>
      </c>
      <c r="D18" s="27" t="n">
        <v>0.1224585660882869</v>
      </c>
    </row>
    <row r="19">
      <c r="A19" s="20" t="inlineStr">
        <is>
          <t>2024-05</t>
        </is>
      </c>
      <c r="B19" s="21" t="n">
        <v>30246.9465</v>
      </c>
      <c r="C19" s="22" t="n">
        <v>4677.137</v>
      </c>
      <c r="D19" s="23" t="n">
        <v>0.1546317080304288</v>
      </c>
    </row>
    <row r="20">
      <c r="A20" s="24" t="inlineStr">
        <is>
          <t>2024-06</t>
        </is>
      </c>
      <c r="B20" s="25" t="n">
        <v>24797.292</v>
      </c>
      <c r="C20" s="26" t="n">
        <v>3335.5572</v>
      </c>
      <c r="D20" s="27" t="n">
        <v>0.1345129621411886</v>
      </c>
    </row>
    <row r="21">
      <c r="A21" s="20" t="inlineStr">
        <is>
          <t>2024-07</t>
        </is>
      </c>
      <c r="B21" s="21" t="n">
        <v>28765.325</v>
      </c>
      <c r="C21" s="22" t="n">
        <v>3288.6483</v>
      </c>
      <c r="D21" s="23" t="n">
        <v>0.1143268257876454</v>
      </c>
    </row>
    <row r="22">
      <c r="A22" s="24" t="inlineStr">
        <is>
          <t>2024-08</t>
        </is>
      </c>
      <c r="B22" s="25" t="n">
        <v>37057.0042</v>
      </c>
      <c r="C22" s="26" t="n">
        <v>5371.627399999999</v>
      </c>
      <c r="D22" s="27" t="n">
        <v>0.1449557921900227</v>
      </c>
    </row>
    <row r="23">
      <c r="A23" s="20" t="inlineStr">
        <is>
          <t>2024-09</t>
        </is>
      </c>
      <c r="B23" s="21" t="n">
        <v>64627.046</v>
      </c>
      <c r="C23" s="22" t="n">
        <v>8220.025099999999</v>
      </c>
      <c r="D23" s="23" t="n">
        <v>0.127191719392528</v>
      </c>
    </row>
    <row r="24">
      <c r="A24" s="24" t="inlineStr">
        <is>
          <t>2024-10</t>
        </is>
      </c>
      <c r="B24" s="25" t="n">
        <v>31407.1335</v>
      </c>
      <c r="C24" s="26" t="n">
        <v>2817.966</v>
      </c>
      <c r="D24" s="27" t="n">
        <v>0.0897237565472188</v>
      </c>
    </row>
    <row r="25">
      <c r="A25" s="20" t="inlineStr">
        <is>
          <t>2024-11</t>
        </is>
      </c>
      <c r="B25" s="21" t="n">
        <v>75972.5635</v>
      </c>
      <c r="C25" s="22" t="n">
        <v>12474.7884</v>
      </c>
      <c r="D25" s="23" t="n">
        <v>0.1642012303560087</v>
      </c>
    </row>
    <row r="26">
      <c r="A26" s="24" t="inlineStr">
        <is>
          <t>2024-12</t>
        </is>
      </c>
      <c r="B26" s="25" t="n">
        <v>75532.5572</v>
      </c>
      <c r="C26" s="26" t="n">
        <v>8093.062699999999</v>
      </c>
      <c r="D26" s="27" t="n">
        <v>0.1071466795248394</v>
      </c>
    </row>
    <row r="27">
      <c r="A27" s="20" t="inlineStr">
        <is>
          <t>2025-01</t>
        </is>
      </c>
      <c r="B27" s="21" t="n">
        <v>18830.331</v>
      </c>
      <c r="C27" s="22" t="n">
        <v>2916.0233</v>
      </c>
      <c r="D27" s="23" t="n">
        <v>0.1548577823724926</v>
      </c>
    </row>
    <row r="28">
      <c r="A28" s="24" t="inlineStr">
        <is>
          <t>2025-02</t>
        </is>
      </c>
      <c r="B28" s="25" t="n">
        <v>22978.815</v>
      </c>
      <c r="C28" s="26" t="n">
        <v>5004.5795</v>
      </c>
      <c r="D28" s="27" t="n">
        <v>0.2177910175089533</v>
      </c>
    </row>
    <row r="29">
      <c r="A29" s="20" t="inlineStr">
        <is>
          <t>2025-03</t>
        </is>
      </c>
      <c r="B29" s="21" t="n">
        <v>53031.069</v>
      </c>
      <c r="C29" s="22" t="n">
        <v>3707.8862</v>
      </c>
      <c r="D29" s="23" t="n">
        <v>0.06991912985951687</v>
      </c>
    </row>
    <row r="30">
      <c r="A30" s="24" t="inlineStr">
        <is>
          <t>2025-04</t>
        </is>
      </c>
      <c r="B30" s="25" t="n">
        <v>38829.159</v>
      </c>
      <c r="C30" s="26" t="n">
        <v>2991.6609</v>
      </c>
      <c r="D30" s="27" t="n">
        <v>0.0770467601422941</v>
      </c>
    </row>
    <row r="31">
      <c r="A31" s="20" t="inlineStr">
        <is>
          <t>2025-05</t>
        </is>
      </c>
      <c r="B31" s="21" t="n">
        <v>57042.838</v>
      </c>
      <c r="C31" s="22" t="n">
        <v>8676.696399999999</v>
      </c>
      <c r="D31" s="23" t="n">
        <v>0.1521084277048067</v>
      </c>
    </row>
    <row r="32">
      <c r="A32" s="24" t="inlineStr">
        <is>
          <t>2025-06</t>
        </is>
      </c>
      <c r="B32" s="25" t="n">
        <v>40937.148</v>
      </c>
      <c r="C32" s="26" t="n">
        <v>4926.319399999999</v>
      </c>
      <c r="D32" s="27" t="n">
        <v>0.1203386078580755</v>
      </c>
    </row>
    <row r="33">
      <c r="A33" s="20" t="inlineStr">
        <is>
          <t>2025-07</t>
        </is>
      </c>
      <c r="B33" s="21" t="n">
        <v>40300.499</v>
      </c>
      <c r="C33" s="22" t="n">
        <v>4559.882699999999</v>
      </c>
      <c r="D33" s="23" t="n">
        <v>0.1131470530923203</v>
      </c>
    </row>
    <row r="34">
      <c r="A34" s="24" t="inlineStr">
        <is>
          <t>2025-08</t>
        </is>
      </c>
      <c r="B34" s="25" t="n">
        <v>31716.8143</v>
      </c>
      <c r="C34" s="26" t="n">
        <v>2317.4993</v>
      </c>
      <c r="D34" s="27" t="n">
        <v>0.07306847648945626</v>
      </c>
    </row>
    <row r="35">
      <c r="A35" s="20" t="inlineStr">
        <is>
          <t>2025-09</t>
        </is>
      </c>
      <c r="B35" s="21" t="n">
        <v>73521.6629</v>
      </c>
      <c r="C35" s="22" t="n">
        <v>9370.103099999998</v>
      </c>
      <c r="D35" s="23" t="n">
        <v>0.1274468330884284</v>
      </c>
    </row>
    <row r="36">
      <c r="A36" s="24" t="inlineStr">
        <is>
          <t>2025-10</t>
        </is>
      </c>
      <c r="B36" s="25" t="n">
        <v>59831.001</v>
      </c>
      <c r="C36" s="26" t="n">
        <v>16256.8422</v>
      </c>
      <c r="D36" s="27" t="n">
        <v>0.2717126895470126</v>
      </c>
    </row>
    <row r="37">
      <c r="A37" s="20" t="inlineStr">
        <is>
          <t>2025-11</t>
        </is>
      </c>
      <c r="B37" s="21" t="n">
        <v>79411.96580000001</v>
      </c>
      <c r="C37" s="22" t="n">
        <v>4011.407499999999</v>
      </c>
      <c r="D37" s="23" t="n">
        <v>0.05051389245422758</v>
      </c>
    </row>
    <row r="38">
      <c r="A38" s="24" t="inlineStr">
        <is>
          <t>2025-12</t>
        </is>
      </c>
      <c r="B38" s="25" t="n">
        <v>97502.277</v>
      </c>
      <c r="C38" s="26" t="n">
        <v>17926.3013</v>
      </c>
      <c r="D38" s="27" t="n">
        <v>0.1838552067866066</v>
      </c>
    </row>
    <row r="39">
      <c r="A39" s="20" t="inlineStr">
        <is>
          <t>2026-01</t>
        </is>
      </c>
      <c r="B39" s="21" t="n">
        <v>44259.214</v>
      </c>
      <c r="C39" s="22" t="n">
        <v>7231.639099999999</v>
      </c>
      <c r="D39" s="23" t="n">
        <v>0.1633928496787132</v>
      </c>
    </row>
    <row r="40">
      <c r="A40" s="24" t="inlineStr">
        <is>
          <t>2026-02</t>
        </is>
      </c>
      <c r="B40" s="25" t="n">
        <v>20301.1334</v>
      </c>
      <c r="C40" s="26" t="n">
        <v>1613.872</v>
      </c>
      <c r="D40" s="27" t="n">
        <v>0.07949664524641761</v>
      </c>
    </row>
    <row r="41">
      <c r="A41" s="20" t="inlineStr">
        <is>
          <t>2026-03</t>
        </is>
      </c>
      <c r="B41" s="21" t="n">
        <v>60728.4808</v>
      </c>
      <c r="C41" s="22" t="n">
        <v>15013.091</v>
      </c>
      <c r="D41" s="23" t="n">
        <v>0.2472166404004627</v>
      </c>
    </row>
    <row r="42">
      <c r="A42" s="24" t="inlineStr">
        <is>
          <t>2026-04</t>
        </is>
      </c>
      <c r="B42" s="25" t="n">
        <v>36779.0361</v>
      </c>
      <c r="C42" s="26" t="n">
        <v>957.5299999999995</v>
      </c>
      <c r="D42" s="27" t="n">
        <v>0.02603466815705917</v>
      </c>
    </row>
    <row r="43">
      <c r="A43" s="20" t="inlineStr">
        <is>
          <t>2026-05</t>
        </is>
      </c>
      <c r="B43" s="21" t="n">
        <v>45155.4822</v>
      </c>
      <c r="C43" s="22" t="n">
        <v>6299.807199999999</v>
      </c>
      <c r="D43" s="23" t="n">
        <v>0.1395136734914548</v>
      </c>
    </row>
    <row r="44">
      <c r="A44" s="24" t="inlineStr">
        <is>
          <t>2026-06</t>
        </is>
      </c>
      <c r="B44" s="25" t="n">
        <v>53056.0777</v>
      </c>
      <c r="C44" s="26" t="n">
        <v>8246.5707</v>
      </c>
      <c r="D44" s="27" t="n">
        <v>0.1554312165069828</v>
      </c>
    </row>
    <row r="45">
      <c r="A45" s="20" t="inlineStr">
        <is>
          <t>2026-07</t>
        </is>
      </c>
      <c r="B45" s="21" t="n">
        <v>45989.496</v>
      </c>
      <c r="C45" s="22" t="n">
        <v>7006.5012</v>
      </c>
      <c r="D45" s="23" t="n">
        <v>0.1523500322769356</v>
      </c>
    </row>
    <row r="46">
      <c r="A46" s="24" t="inlineStr">
        <is>
          <t>2026-08</t>
        </is>
      </c>
      <c r="B46" s="25" t="n">
        <v>64129.758</v>
      </c>
      <c r="C46" s="26" t="n">
        <v>9488.072200000001</v>
      </c>
      <c r="D46" s="27" t="n">
        <v>0.1479511617679892</v>
      </c>
    </row>
    <row r="47">
      <c r="A47" s="20" t="inlineStr">
        <is>
          <t>2026-09</t>
        </is>
      </c>
      <c r="B47" s="21" t="n">
        <v>88064.53200000001</v>
      </c>
      <c r="C47" s="22" t="n">
        <v>11050.8024</v>
      </c>
      <c r="D47" s="23" t="n">
        <v>0.1254852793630925</v>
      </c>
    </row>
    <row r="48">
      <c r="A48" s="24" t="inlineStr">
        <is>
          <t>2026-10</t>
        </is>
      </c>
      <c r="B48" s="25" t="n">
        <v>83474.78320000001</v>
      </c>
      <c r="C48" s="26" t="n">
        <v>10670.5312</v>
      </c>
      <c r="D48" s="27" t="n">
        <v>0.1278293969860828</v>
      </c>
    </row>
    <row r="49">
      <c r="A49" s="20" t="inlineStr">
        <is>
          <t>2026-11</t>
        </is>
      </c>
      <c r="B49" s="21" t="n">
        <v>118454.505</v>
      </c>
      <c r="C49" s="22" t="n">
        <v>9692.1037</v>
      </c>
      <c r="D49" s="23" t="n">
        <v>0.08182131781311314</v>
      </c>
    </row>
    <row r="50">
      <c r="A50" s="24" t="inlineStr">
        <is>
          <t>2026-12</t>
        </is>
      </c>
      <c r="B50" s="25" t="n">
        <v>85175.0328</v>
      </c>
      <c r="C50" s="26" t="n">
        <v>8655.8269</v>
      </c>
      <c r="D50" s="27" t="n">
        <v>0.1016239925651077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7" t="inlineStr">
        <is>
          <t>SALES BY CUSTOMER SEGMENT</t>
        </is>
      </c>
      <c r="B1" s="18" t="n"/>
      <c r="C1" s="18" t="n"/>
      <c r="D1" s="18" t="n"/>
      <c r="E1" s="18" t="n"/>
    </row>
    <row r="2">
      <c r="A2" s="19" t="inlineStr">
        <is>
          <t>Segment</t>
        </is>
      </c>
      <c r="B2" s="19" t="inlineStr">
        <is>
          <t>Sales ($)</t>
        </is>
      </c>
      <c r="C2" s="19" t="inlineStr">
        <is>
          <t>Profit ($)</t>
        </is>
      </c>
      <c r="D2" s="19" t="inlineStr">
        <is>
          <t>Orders</t>
        </is>
      </c>
      <c r="E2" s="19" t="inlineStr">
        <is>
          <t>Margin %</t>
        </is>
      </c>
    </row>
    <row r="3">
      <c r="A3" s="20" t="inlineStr">
        <is>
          <t>Consumer</t>
        </is>
      </c>
      <c r="B3" s="21" t="n">
        <v>1170659.787</v>
      </c>
      <c r="C3" s="21" t="n">
        <v>136371.4463</v>
      </c>
      <c r="D3" s="30" t="n">
        <v>2628</v>
      </c>
      <c r="E3" s="23" t="n">
        <v>0.1164910999885571</v>
      </c>
    </row>
    <row r="4">
      <c r="A4" s="24" t="inlineStr">
        <is>
          <t>Corporate</t>
        </is>
      </c>
      <c r="B4" s="25" t="n">
        <v>715806.1348</v>
      </c>
      <c r="C4" s="25" t="n">
        <v>94249.64</v>
      </c>
      <c r="D4" s="31" t="n">
        <v>1552</v>
      </c>
      <c r="E4" s="27" t="n">
        <v>0.1316692263699777</v>
      </c>
    </row>
    <row r="5">
      <c r="A5" s="20" t="inlineStr">
        <is>
          <t>Home Office</t>
        </is>
      </c>
      <c r="B5" s="21" t="n">
        <v>440068.4325</v>
      </c>
      <c r="C5" s="21" t="n">
        <v>61675.7283</v>
      </c>
      <c r="D5" s="30" t="n">
        <v>931</v>
      </c>
      <c r="E5" s="23" t="n">
        <v>0.1401503124176034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7" t="inlineStr">
        <is>
          <t>REGIONAL PERFORMANCE</t>
        </is>
      </c>
      <c r="B1" s="18" t="n"/>
      <c r="C1" s="18" t="n"/>
      <c r="D1" s="18" t="n"/>
      <c r="E1" s="18" t="n"/>
      <c r="F1" s="18" t="n"/>
    </row>
    <row r="2">
      <c r="A2" s="19" t="inlineStr">
        <is>
          <t>Region</t>
        </is>
      </c>
      <c r="B2" s="19" t="inlineStr">
        <is>
          <t>Sales ($)</t>
        </is>
      </c>
      <c r="C2" s="19" t="inlineStr">
        <is>
          <t>Profit ($)</t>
        </is>
      </c>
      <c r="D2" s="19" t="inlineStr">
        <is>
          <t>Orders</t>
        </is>
      </c>
      <c r="E2" s="19" t="inlineStr">
        <is>
          <t>Quantity</t>
        </is>
      </c>
      <c r="F2" s="19" t="inlineStr">
        <is>
          <t>Margin %</t>
        </is>
      </c>
    </row>
    <row r="3">
      <c r="A3" s="20" t="inlineStr">
        <is>
          <t>Central</t>
        </is>
      </c>
      <c r="B3" s="21" t="n">
        <v>503170.6728</v>
      </c>
      <c r="C3" s="21" t="n">
        <v>39865.307</v>
      </c>
      <c r="D3" s="30" t="n">
        <v>1179</v>
      </c>
      <c r="E3" s="30" t="n">
        <v>8820</v>
      </c>
      <c r="F3" s="23" t="n">
        <v>0.07922820059873728</v>
      </c>
    </row>
    <row r="4">
      <c r="A4" s="24" t="inlineStr">
        <is>
          <t>East</t>
        </is>
      </c>
      <c r="B4" s="25" t="n">
        <v>691828.1680000001</v>
      </c>
      <c r="C4" s="25" t="n">
        <v>94883.26029999999</v>
      </c>
      <c r="D4" s="31" t="n">
        <v>1475</v>
      </c>
      <c r="E4" s="31" t="n">
        <v>11159</v>
      </c>
      <c r="F4" s="27" t="n">
        <v>0.1371485936663972</v>
      </c>
    </row>
    <row r="5">
      <c r="A5" s="20" t="inlineStr">
        <is>
          <t>South</t>
        </is>
      </c>
      <c r="B5" s="21" t="n">
        <v>391721.905</v>
      </c>
      <c r="C5" s="21" t="n">
        <v>46749.4303</v>
      </c>
      <c r="D5" s="30" t="n">
        <v>822</v>
      </c>
      <c r="E5" s="30" t="n">
        <v>6209</v>
      </c>
      <c r="F5" s="23" t="n">
        <v>0.1193434160900448</v>
      </c>
    </row>
    <row r="6">
      <c r="A6" s="24" t="inlineStr">
        <is>
          <t>West</t>
        </is>
      </c>
      <c r="B6" s="25" t="n">
        <v>739813.6085</v>
      </c>
      <c r="C6" s="25" t="n">
        <v>110798.817</v>
      </c>
      <c r="D6" s="31" t="n">
        <v>1635</v>
      </c>
      <c r="E6" s="31" t="n">
        <v>12466</v>
      </c>
      <c r="F6" s="27" t="n">
        <v>0.1497658541651441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7" t="inlineStr">
        <is>
          <t>YEAR-OVER-YEAR PERFORMANCE</t>
        </is>
      </c>
      <c r="B1" s="18" t="n"/>
      <c r="C1" s="18" t="n"/>
      <c r="D1" s="18" t="n"/>
      <c r="E1" s="18" t="n"/>
      <c r="F1" s="18" t="n"/>
    </row>
    <row r="2">
      <c r="A2" s="19" t="inlineStr">
        <is>
          <t>Year</t>
        </is>
      </c>
      <c r="B2" s="19" t="inlineStr">
        <is>
          <t>Sales ($)</t>
        </is>
      </c>
      <c r="C2" s="19" t="inlineStr">
        <is>
          <t>Sales Growth</t>
        </is>
      </c>
      <c r="D2" s="19" t="inlineStr">
        <is>
          <t>Profit ($)</t>
        </is>
      </c>
      <c r="E2" s="19" t="inlineStr">
        <is>
          <t>Profit Growth</t>
        </is>
      </c>
      <c r="F2" s="19" t="inlineStr">
        <is>
          <t>Orders</t>
        </is>
      </c>
    </row>
    <row r="3">
      <c r="A3" s="20" t="n">
        <v>2023</v>
      </c>
      <c r="B3" s="21" t="n">
        <v>494040.2121</v>
      </c>
      <c r="C3" s="20" t="inlineStr">
        <is>
          <t>N/A</t>
        </is>
      </c>
      <c r="D3" s="21" t="n">
        <v>51684.2957</v>
      </c>
      <c r="E3" s="20" t="inlineStr">
        <is>
          <t>N/A</t>
        </is>
      </c>
      <c r="F3" s="30" t="n">
        <v>995</v>
      </c>
    </row>
    <row r="4">
      <c r="A4" s="24" t="n">
        <v>2024</v>
      </c>
      <c r="B4" s="25" t="n">
        <v>472993.031</v>
      </c>
      <c r="C4" s="32">
        <f>(B4-B3)/B3</f>
        <v/>
      </c>
      <c r="D4" s="25" t="n">
        <v>62020.9695</v>
      </c>
      <c r="E4" s="32">
        <f>(D4-D3)/D3</f>
        <v/>
      </c>
      <c r="F4" s="31" t="n">
        <v>1053</v>
      </c>
    </row>
    <row r="5">
      <c r="A5" s="20" t="n">
        <v>2025</v>
      </c>
      <c r="B5" s="21" t="n">
        <v>613933.58</v>
      </c>
      <c r="C5" s="33">
        <f>(B5-B4)/B4</f>
        <v/>
      </c>
      <c r="D5" s="21" t="n">
        <v>82665.2018</v>
      </c>
      <c r="E5" s="33">
        <f>(D5-D4)/D4</f>
        <v/>
      </c>
      <c r="F5" s="30" t="n">
        <v>1340</v>
      </c>
    </row>
    <row r="6">
      <c r="A6" s="24" t="n">
        <v>2026</v>
      </c>
      <c r="B6" s="25" t="n">
        <v>745567.5312</v>
      </c>
      <c r="C6" s="32">
        <f>(B6-B5)/B5</f>
        <v/>
      </c>
      <c r="D6" s="25" t="n">
        <v>95926.34759999999</v>
      </c>
      <c r="E6" s="32">
        <f>(D6-D5)/D5</f>
        <v/>
      </c>
      <c r="F6" s="31" t="n">
        <v>1723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7" t="inlineStr">
        <is>
          <t>TOP 10 PRODUCTS BY SALES</t>
        </is>
      </c>
      <c r="B1" s="18" t="n"/>
      <c r="C1" s="18" t="n"/>
      <c r="D1" s="18" t="n"/>
    </row>
    <row r="2">
      <c r="A2" s="19" t="inlineStr">
        <is>
          <t>Product Name</t>
        </is>
      </c>
      <c r="B2" s="19" t="inlineStr">
        <is>
          <t>Sales ($)</t>
        </is>
      </c>
      <c r="C2" s="19" t="inlineStr">
        <is>
          <t>Profit ($)</t>
        </is>
      </c>
      <c r="D2" s="19" t="inlineStr">
        <is>
          <t>Margin %</t>
        </is>
      </c>
    </row>
    <row r="3" ht="32" customHeight="1">
      <c r="A3" s="34" t="inlineStr">
        <is>
          <t>Canon imageCLASS 2200 Advanced Copier</t>
        </is>
      </c>
      <c r="B3" s="21" t="n">
        <v>61599.824</v>
      </c>
      <c r="C3" s="22" t="n">
        <v>25199.928</v>
      </c>
      <c r="D3" s="23" t="n">
        <v>0.4090909090909091</v>
      </c>
    </row>
    <row r="4" ht="32" customHeight="1">
      <c r="A4" s="35" t="inlineStr">
        <is>
          <t>Fellowes PB500 Electric Punch Plastic Comb Binding Machine with Manual Bind</t>
        </is>
      </c>
      <c r="B4" s="25" t="n">
        <v>27453.384</v>
      </c>
      <c r="C4" s="26" t="n">
        <v>7753.039</v>
      </c>
      <c r="D4" s="27" t="n">
        <v>0.2824074074074074</v>
      </c>
    </row>
    <row r="5" ht="32" customHeight="1">
      <c r="A5" s="34" t="inlineStr">
        <is>
          <t>Cisco TelePresence System EX90 Videoconferencing Unit</t>
        </is>
      </c>
      <c r="B5" s="21" t="n">
        <v>22638.48</v>
      </c>
      <c r="C5" s="29" t="n">
        <v>-1811.0784</v>
      </c>
      <c r="D5" s="23" t="n">
        <v>-0.08</v>
      </c>
    </row>
    <row r="6" ht="32" customHeight="1">
      <c r="A6" s="35" t="inlineStr">
        <is>
          <t>HON 5400 Series Task Chairs for Big and Tall</t>
        </is>
      </c>
      <c r="B6" s="25" t="n">
        <v>21870.576</v>
      </c>
      <c r="C6" s="26" t="n">
        <v>1.13686837721616e-13</v>
      </c>
      <c r="D6" s="27" t="n">
        <v>5.198163858218276e-18</v>
      </c>
    </row>
    <row r="7" ht="32" customHeight="1">
      <c r="A7" s="34" t="inlineStr">
        <is>
          <t>GBC DocuBind TL300 Electric Binding System</t>
        </is>
      </c>
      <c r="B7" s="21" t="n">
        <v>19823.479</v>
      </c>
      <c r="C7" s="22" t="n">
        <v>2233.5051</v>
      </c>
      <c r="D7" s="23" t="n">
        <v>0.1126696832579186</v>
      </c>
    </row>
    <row r="8" ht="32" customHeight="1">
      <c r="A8" s="35" t="inlineStr">
        <is>
          <t>GBC Ibimaster 500 Manual ProClick Binding System</t>
        </is>
      </c>
      <c r="B8" s="25" t="n">
        <v>19024.5</v>
      </c>
      <c r="C8" s="26" t="n">
        <v>760.9799999999998</v>
      </c>
      <c r="D8" s="27" t="n">
        <v>0.03999999999999999</v>
      </c>
    </row>
    <row r="9" ht="32" customHeight="1">
      <c r="A9" s="34" t="inlineStr">
        <is>
          <t>Hewlett Packard LaserJet 3310 Copier</t>
        </is>
      </c>
      <c r="B9" s="21" t="n">
        <v>18839.686</v>
      </c>
      <c r="C9" s="22" t="n">
        <v>6983.8836</v>
      </c>
      <c r="D9" s="23" t="n">
        <v>0.3707006369426751</v>
      </c>
    </row>
    <row r="10" ht="32" customHeight="1">
      <c r="A10" s="35" t="inlineStr">
        <is>
          <t>HP Designjet T520 Inkjet Large Format Printer - 24" Color</t>
        </is>
      </c>
      <c r="B10" s="25" t="n">
        <v>18374.895</v>
      </c>
      <c r="C10" s="26" t="n">
        <v>4094.9766</v>
      </c>
      <c r="D10" s="27" t="n">
        <v>0.2228571428571428</v>
      </c>
    </row>
    <row r="11" ht="32" customHeight="1">
      <c r="A11" s="34" t="inlineStr">
        <is>
          <t>GBC DocuBind P400 Electric Binding System</t>
        </is>
      </c>
      <c r="B11" s="21" t="n">
        <v>17965.068</v>
      </c>
      <c r="C11" s="29" t="n">
        <v>-1878.166200000001</v>
      </c>
      <c r="D11" s="23" t="n">
        <v>-0.1045454545454546</v>
      </c>
    </row>
    <row r="12" ht="32" customHeight="1">
      <c r="A12" s="35" t="inlineStr">
        <is>
          <t>High Speed Automatic Electric Letter Opener</t>
        </is>
      </c>
      <c r="B12" s="25" t="n">
        <v>17030.312</v>
      </c>
      <c r="C12" s="28" t="n">
        <v>-262.0048</v>
      </c>
      <c r="D12" s="27" t="n">
        <v>-0.01538461538461539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2026-03-15T16:49:08Z</dcterms:created>
  <dcterms:modified xmlns:dcterms="http://purl.org/dc/terms/" xmlns:xsi="http://www.w3.org/2001/XMLSchema-instance" xsi:type="dcterms:W3CDTF">2026-03-15T16:49:08Z</dcterms:modified>
</cp:coreProperties>
</file>